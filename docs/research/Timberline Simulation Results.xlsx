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uns" sheetId="2" state="visible" r:id="rId4"/>
    <sheet name="Find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<sst xmlns="http://schemas.openxmlformats.org/spreadsheetml/2006/main" count="71" uniqueCount="54">
  <si>
    <t xml:space="preserve">Timberline pacing by player type</t>
  </si>
  <si>
    <t xml:space="preserve">Calculated from the Runs sheet: 3 runs per player type, 3 hours of play each. Times are minutes from the start of a new company.</t>
  </si>
  <si>
    <t xml:space="preserve">Player type</t>
  </si>
  <si>
    <t xml:space="preserve">Steam: earliest</t>
  </si>
  <si>
    <t xml:space="preserve">Steam: latest</t>
  </si>
  <si>
    <t xml:space="preserve">Gas: earliest</t>
  </si>
  <si>
    <t xml:space="preserve">Gas: latest</t>
  </si>
  <si>
    <t xml:space="preserve">Runs reaching gas</t>
  </si>
  <si>
    <t xml:space="preserve">Mechanized: earliest</t>
  </si>
  <si>
    <t xml:space="preserve">Mechanized: latest</t>
  </si>
  <si>
    <t xml:space="preserve">Runs reaching mechanized</t>
  </si>
  <si>
    <t xml:space="preserve">Avg improvements by 1 h</t>
  </si>
  <si>
    <t xml:space="preserve">Avg improvements by 2 h</t>
  </si>
  <si>
    <t xml:space="preserve">Avg improvements by 3 h</t>
  </si>
  <si>
    <t xml:space="preserve">Longest achievement gap (max)</t>
  </si>
  <si>
    <t xml:space="preserve">Total minutes owing wages</t>
  </si>
  <si>
    <t xml:space="preserve">Idle (never plays mini-games)</t>
  </si>
  <si>
    <t xml:space="preserve">Steady clicker</t>
  </si>
  <si>
    <t xml:space="preserve">Casual (a run about every 2 min)</t>
  </si>
  <si>
    <t xml:space="preserve">Mini-game player</t>
  </si>
  <si>
    <t xml:space="preserve">Soft-locks</t>
  </si>
  <si>
    <t xml:space="preserve">Timberline simulation: per-run results (3 hours of play each)</t>
  </si>
  <si>
    <t xml:space="preserve">Hardcoded values come from the headless bot simulation of game version 8 (improvements unlock from runs). Blank era cell = not reached within 3 hours.</t>
  </si>
  <si>
    <t xml:space="preserve">Seed</t>
  </si>
  <si>
    <t xml:space="preserve">Steam (min)</t>
  </si>
  <si>
    <t xml:space="preserve">Gas (min)</t>
  </si>
  <si>
    <t xml:space="preserve">Mechanized (min)</t>
  </si>
  <si>
    <t xml:space="preserve">Improvements by 60 min</t>
  </si>
  <si>
    <t xml:space="preserve">Improvements by 120 min</t>
  </si>
  <si>
    <t xml:space="preserve">Improvements by 180 min</t>
  </si>
  <si>
    <t xml:space="preserve">Longest purchase gap (min)</t>
  </si>
  <si>
    <t xml:space="preserve">Gap starts at (min)</t>
  </si>
  <si>
    <t xml:space="preserve">Minutes owing wages</t>
  </si>
  <si>
    <t xml:space="preserve">Longest achievement gap (min)</t>
  </si>
  <si>
    <t xml:space="preserve">Achievement gap starts at (min)</t>
  </si>
  <si>
    <t xml:space="preserve">Achievements earned</t>
  </si>
  <si>
    <t xml:space="preserve">What changed and what to do next</t>
  </si>
  <si>
    <t xml:space="preserve">Type</t>
  </si>
  <si>
    <t xml:space="preserve">Topic</t>
  </si>
  <si>
    <t xml:space="preserve">Detail</t>
  </si>
  <si>
    <t xml:space="preserve">Finding</t>
  </si>
  <si>
    <t xml:space="preserve">Non-players stall in the steam era</t>
  </si>
  <si>
    <t xml:space="preserve">Idle and clicker players reach steam at about 30 minutes, then spend 100–130 minutes there with a 35–40 minute stretch without achievements. With no improvements, their multipliers stop growing. This is the new main point of strain.</t>
  </si>
  <si>
    <t xml:space="preserve">Mini-game players move too fast</t>
  </si>
  <si>
    <t xml:space="preserve">Mechanized arrives at about 100 minutes, nearly twice as fast as a casual player. Fast improvement unlocks stack with 50% pace boosts that are active on all four stages most of the time. Steam at 14–19 minutes means they skip most of the axe-and-oxen grind.</t>
  </si>
  <si>
    <t xml:space="preserve">Casual players have the best pacing</t>
  </si>
  <si>
    <t xml:space="preserve">Each era lasts 40–70 minutes. Improvements stall at about 13 because later ones need clean-run streaks and 40–100 total runs.</t>
  </si>
  <si>
    <t xml:space="preserve">Option</t>
  </si>
  <si>
    <t xml:space="preserve">Fix the steam-era strain for non-players</t>
  </si>
  <si>
    <t xml:space="preserve">Let some achievements grant an improvement, giving idle players a slower but real path. Or add steam-era goals and rewards that do not depend on mini-games.</t>
  </si>
  <si>
    <t xml:space="preserve">Slow down mini-game players</t>
  </si>
  <si>
    <t xml:space="preserve">Cap boosts so only one or two stages can be boosted at once, or lower the boost to ×1.3. Either would also spread out their achievements.</t>
  </si>
  <si>
    <t xml:space="preserve">Help casual players reach later improvements</t>
  </si>
  <si>
    <t xml:space="preserve">Lower the 40/60/100 total-run requirements to about 30/45/70.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</si>
</sst>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&quot; of 3&quot;"/>
    <numFmt numFmtId="167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A685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5C39"/>
        <bgColor rgb="FF5A685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3CCC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CCC1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85E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5C3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4" min="2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16</v>
      </c>
      <c r="B5" s="5" t="n">
        <f aca="false">_xlfn.MINIFS(Runs!$C$5:$C$16,Runs!$A$5:$A$16,$A5)</f>
        <v>29</v>
      </c>
      <c r="C5" s="5" t="n">
        <f aca="false">_xlfn.MAXIFS(Runs!$C$5:$C$16,Runs!$A$5:$A$16,$A5)</f>
        <v>32</v>
      </c>
      <c r="D5" s="5" t="n">
        <f aca="false">IF(F5=0,"not reached",_xlfn.MINIFS(Runs!$D$5:$D$16,Runs!$A$5:$A$16,$A5))</f>
        <v>134</v>
      </c>
      <c r="E5" s="5" t="n">
        <f aca="false">IF(F5=0,"not reached",_xlfn.MAXIFS(Runs!$D$5:$D$16,Runs!$A$5:$A$16,$A5))</f>
        <v>169</v>
      </c>
      <c r="F5" s="6" t="n">
        <f aca="false">COUNTIFS(Runs!$A$5:$A$16,$A5,Runs!$D$5:$D$16,"&lt;&gt;")</f>
        <v>3</v>
      </c>
      <c r="G5" s="5" t="str">
        <f aca="false">IF(I5=0,"not reached",_xlfn.MINIFS(Runs!$E$5:$E$16,Runs!$A$5:$A$16,$A5))</f>
        <v>not reached</v>
      </c>
      <c r="H5" s="5" t="str">
        <f aca="false">IF(I5=0,"not reached",_xlfn.MAXIFS(Runs!$E$5:$E$16,Runs!$A$5:$A$16,$A5))</f>
        <v>not reached</v>
      </c>
      <c r="I5" s="6" t="n">
        <f aca="false">COUNTIFS(Runs!$A$5:$A$16,$A5,Runs!$E$5:$E$16,"&lt;&gt;")</f>
        <v>0</v>
      </c>
      <c r="J5" s="7" t="n">
        <f aca="false">AVERAGEIFS(Runs!$F$5:$F$16,Runs!$A$5:$A$16,$A5)</f>
        <v>0</v>
      </c>
      <c r="K5" s="7" t="n">
        <f aca="false">AVERAGEIFS(Runs!$G$5:$G$16,Runs!$A$5:$A$16,$A5)</f>
        <v>0</v>
      </c>
      <c r="L5" s="7" t="n">
        <f aca="false">AVERAGEIFS(Runs!$H$5:$H$16,Runs!$A$5:$A$16,$A5)</f>
        <v>0</v>
      </c>
      <c r="M5" s="5" t="n">
        <f aca="false">_xlfn.MAXIFS(Runs!$L$5:$L$16,Runs!$A$5:$A$16,$A5)</f>
        <v>39</v>
      </c>
      <c r="N5" s="5" t="n">
        <f aca="false">SUMIFS(Runs!$K$5:$K$16,Runs!$A$5:$A$16,$A5)</f>
        <v>0</v>
      </c>
    </row>
    <row r="6" customFormat="false" ht="15" hidden="false" customHeight="false" outlineLevel="0" collapsed="false">
      <c r="A6" s="4" t="s">
        <v>17</v>
      </c>
      <c r="B6" s="5" t="n">
        <f aca="false">_xlfn.MINIFS(Runs!$C$5:$C$16,Runs!$A$5:$A$16,$A6)</f>
        <v>31</v>
      </c>
      <c r="C6" s="5" t="n">
        <f aca="false">_xlfn.MAXIFS(Runs!$C$5:$C$16,Runs!$A$5:$A$16,$A6)</f>
        <v>38</v>
      </c>
      <c r="D6" s="5" t="n">
        <f aca="false">IF(F6=0,"not reached",_xlfn.MINIFS(Runs!$D$5:$D$16,Runs!$A$5:$A$16,$A6))</f>
        <v>137</v>
      </c>
      <c r="E6" s="5" t="n">
        <f aca="false">IF(F6=0,"not reached",_xlfn.MAXIFS(Runs!$D$5:$D$16,Runs!$A$5:$A$16,$A6))</f>
        <v>157</v>
      </c>
      <c r="F6" s="6" t="n">
        <f aca="false">COUNTIFS(Runs!$A$5:$A$16,$A6,Runs!$D$5:$D$16,"&lt;&gt;")</f>
        <v>2</v>
      </c>
      <c r="G6" s="5" t="str">
        <f aca="false">IF(I6=0,"not reached",_xlfn.MINIFS(Runs!$E$5:$E$16,Runs!$A$5:$A$16,$A6))</f>
        <v>not reached</v>
      </c>
      <c r="H6" s="5" t="str">
        <f aca="false">IF(I6=0,"not reached",_xlfn.MAXIFS(Runs!$E$5:$E$16,Runs!$A$5:$A$16,$A6))</f>
        <v>not reached</v>
      </c>
      <c r="I6" s="6" t="n">
        <f aca="false">COUNTIFS(Runs!$A$5:$A$16,$A6,Runs!$E$5:$E$16,"&lt;&gt;")</f>
        <v>0</v>
      </c>
      <c r="J6" s="7" t="n">
        <f aca="false">AVERAGEIFS(Runs!$F$5:$F$16,Runs!$A$5:$A$16,$A6)</f>
        <v>0</v>
      </c>
      <c r="K6" s="7" t="n">
        <f aca="false">AVERAGEIFS(Runs!$G$5:$G$16,Runs!$A$5:$A$16,$A6)</f>
        <v>0</v>
      </c>
      <c r="L6" s="7" t="n">
        <f aca="false">AVERAGEIFS(Runs!$H$5:$H$16,Runs!$A$5:$A$16,$A6)</f>
        <v>0</v>
      </c>
      <c r="M6" s="5" t="n">
        <f aca="false">_xlfn.MAXIFS(Runs!$L$5:$L$16,Runs!$A$5:$A$16,$A6)</f>
        <v>41</v>
      </c>
      <c r="N6" s="5" t="n">
        <f aca="false">SUMIFS(Runs!$K$5:$K$16,Runs!$A$5:$A$16,$A6)</f>
        <v>0</v>
      </c>
    </row>
    <row r="7" customFormat="false" ht="15" hidden="false" customHeight="false" outlineLevel="0" collapsed="false">
      <c r="A7" s="4" t="s">
        <v>18</v>
      </c>
      <c r="B7" s="5" t="n">
        <f aca="false">_xlfn.MINIFS(Runs!$C$5:$C$16,Runs!$A$5:$A$16,$A7)</f>
        <v>34</v>
      </c>
      <c r="C7" s="5" t="n">
        <f aca="false">_xlfn.MAXIFS(Runs!$C$5:$C$16,Runs!$A$5:$A$16,$A7)</f>
        <v>42</v>
      </c>
      <c r="D7" s="5" t="n">
        <f aca="false">IF(F7=0,"not reached",_xlfn.MINIFS(Runs!$D$5:$D$16,Runs!$A$5:$A$16,$A7))</f>
        <v>77</v>
      </c>
      <c r="E7" s="5" t="n">
        <f aca="false">IF(F7=0,"not reached",_xlfn.MAXIFS(Runs!$D$5:$D$16,Runs!$A$5:$A$16,$A7))</f>
        <v>95</v>
      </c>
      <c r="F7" s="6" t="n">
        <f aca="false">COUNTIFS(Runs!$A$5:$A$16,$A7,Runs!$D$5:$D$16,"&lt;&gt;")</f>
        <v>3</v>
      </c>
      <c r="G7" s="5" t="n">
        <f aca="false">IF(I7=0,"not reached",_xlfn.MINIFS(Runs!$E$5:$E$16,Runs!$A$5:$A$16,$A7))</f>
        <v>143</v>
      </c>
      <c r="H7" s="5" t="n">
        <f aca="false">IF(I7=0,"not reached",_xlfn.MAXIFS(Runs!$E$5:$E$16,Runs!$A$5:$A$16,$A7))</f>
        <v>170</v>
      </c>
      <c r="I7" s="6" t="n">
        <f aca="false">COUNTIFS(Runs!$A$5:$A$16,$A7,Runs!$E$5:$E$16,"&lt;&gt;")</f>
        <v>3</v>
      </c>
      <c r="J7" s="7" t="n">
        <f aca="false">AVERAGEIFS(Runs!$F$5:$F$16,Runs!$A$5:$A$16,$A7)</f>
        <v>10</v>
      </c>
      <c r="K7" s="7" t="n">
        <f aca="false">AVERAGEIFS(Runs!$G$5:$G$16,Runs!$A$5:$A$16,$A7)</f>
        <v>12</v>
      </c>
      <c r="L7" s="7" t="n">
        <f aca="false">AVERAGEIFS(Runs!$H$5:$H$16,Runs!$A$5:$A$16,$A7)</f>
        <v>13</v>
      </c>
      <c r="M7" s="5" t="n">
        <f aca="false">_xlfn.MAXIFS(Runs!$L$5:$L$16,Runs!$A$5:$A$16,$A7)</f>
        <v>33</v>
      </c>
      <c r="N7" s="5" t="n">
        <f aca="false">SUMIFS(Runs!$K$5:$K$16,Runs!$A$5:$A$16,$A7)</f>
        <v>0</v>
      </c>
    </row>
    <row r="8" customFormat="false" ht="15" hidden="false" customHeight="false" outlineLevel="0" collapsed="false">
      <c r="A8" s="4" t="s">
        <v>19</v>
      </c>
      <c r="B8" s="5" t="n">
        <f aca="false">_xlfn.MINIFS(Runs!$C$5:$C$16,Runs!$A$5:$A$16,$A8)</f>
        <v>14</v>
      </c>
      <c r="C8" s="5" t="n">
        <f aca="false">_xlfn.MAXIFS(Runs!$C$5:$C$16,Runs!$A$5:$A$16,$A8)</f>
        <v>19</v>
      </c>
      <c r="D8" s="5" t="n">
        <f aca="false">IF(F8=0,"not reached",_xlfn.MINIFS(Runs!$D$5:$D$16,Runs!$A$5:$A$16,$A8))</f>
        <v>49</v>
      </c>
      <c r="E8" s="5" t="n">
        <f aca="false">IF(F8=0,"not reached",_xlfn.MAXIFS(Runs!$D$5:$D$16,Runs!$A$5:$A$16,$A8))</f>
        <v>60</v>
      </c>
      <c r="F8" s="6" t="n">
        <f aca="false">COUNTIFS(Runs!$A$5:$A$16,$A8,Runs!$D$5:$D$16,"&lt;&gt;")</f>
        <v>3</v>
      </c>
      <c r="G8" s="5" t="n">
        <f aca="false">IF(I8=0,"not reached",_xlfn.MINIFS(Runs!$E$5:$E$16,Runs!$A$5:$A$16,$A8))</f>
        <v>97</v>
      </c>
      <c r="H8" s="5" t="n">
        <f aca="false">IF(I8=0,"not reached",_xlfn.MAXIFS(Runs!$E$5:$E$16,Runs!$A$5:$A$16,$A8))</f>
        <v>107</v>
      </c>
      <c r="I8" s="6" t="n">
        <f aca="false">COUNTIFS(Runs!$A$5:$A$16,$A8,Runs!$E$5:$E$16,"&lt;&gt;")</f>
        <v>3</v>
      </c>
      <c r="J8" s="7" t="n">
        <f aca="false">AVERAGEIFS(Runs!$F$5:$F$16,Runs!$A$5:$A$16,$A8)</f>
        <v>16</v>
      </c>
      <c r="K8" s="7" t="n">
        <f aca="false">AVERAGEIFS(Runs!$G$5:$G$16,Runs!$A$5:$A$16,$A8)</f>
        <v>18.3333333333333</v>
      </c>
      <c r="L8" s="7" t="n">
        <f aca="false">AVERAGEIFS(Runs!$H$5:$H$16,Runs!$A$5:$A$16,$A8)</f>
        <v>18.3333333333333</v>
      </c>
      <c r="M8" s="5" t="n">
        <f aca="false">_xlfn.MAXIFS(Runs!$L$5:$L$16,Runs!$A$5:$A$16,$A8)</f>
        <v>35</v>
      </c>
      <c r="N8" s="5" t="n">
        <f aca="false">SUMIFS(Runs!$K$5:$K$16,Runs!$A$5:$A$16,$A8)</f>
        <v>0</v>
      </c>
    </row>
    <row r="11" customFormat="false" ht="15" hidden="false" customHeight="false" outlineLevel="0" collapsed="false">
      <c r="A11" s="4" t="s">
        <v>20</v>
      </c>
      <c r="B11" s="8" t="str">
        <f aca="false">IF(SUM(Runs!K5:K16)=0,"None: no run ever owed wages, and purchase gaps stayed near 4 minutes after the opening.","Check Runs: some runs owed wages.")</f>
        <v>None: no run ever owed wages, and purchase gaps stayed near 4 minutes after the opening.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"/>
    <col collapsed="false" customWidth="true" hidden="false" outlineLevel="0" max="4" min="3" style="0" width="11"/>
    <col collapsed="false" customWidth="true" hidden="false" outlineLevel="0" max="5" min="5" style="0" width="14"/>
    <col collapsed="false" customWidth="true" hidden="false" outlineLevel="0" max="8" min="6" style="0" width="13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3" min="12" style="0" width="14"/>
    <col collapsed="false" customWidth="true" hidden="false" outlineLevel="0" max="14" min="14" style="0" width="12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22</v>
      </c>
    </row>
    <row r="4" customFormat="false" ht="45" hidden="false" customHeight="true" outlineLevel="0" collapsed="false">
      <c r="A4" s="3" t="s">
        <v>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  <c r="M4" s="3" t="s">
        <v>34</v>
      </c>
      <c r="N4" s="3" t="s">
        <v>35</v>
      </c>
    </row>
    <row r="5" customFormat="false" ht="15" hidden="false" customHeight="false" outlineLevel="0" collapsed="false">
      <c r="A5" s="9" t="s">
        <v>16</v>
      </c>
      <c r="B5" s="10" t="n">
        <v>1</v>
      </c>
      <c r="C5" s="10" t="n">
        <v>31</v>
      </c>
      <c r="D5" s="10" t="n">
        <v>169</v>
      </c>
      <c r="E5" s="10"/>
      <c r="F5" s="10" t="n">
        <v>0</v>
      </c>
      <c r="G5" s="10" t="n">
        <v>0</v>
      </c>
      <c r="H5" s="10" t="n">
        <v>0</v>
      </c>
      <c r="I5" s="10" t="n">
        <v>3.5</v>
      </c>
      <c r="J5" s="10" t="n">
        <v>125</v>
      </c>
      <c r="K5" s="10" t="n">
        <v>0</v>
      </c>
      <c r="L5" s="10" t="n">
        <v>39</v>
      </c>
      <c r="M5" s="10" t="n">
        <v>110</v>
      </c>
      <c r="N5" s="10" t="n">
        <v>39</v>
      </c>
    </row>
    <row r="6" customFormat="false" ht="15" hidden="false" customHeight="false" outlineLevel="0" collapsed="false">
      <c r="A6" s="9" t="s">
        <v>16</v>
      </c>
      <c r="B6" s="10" t="n">
        <v>2</v>
      </c>
      <c r="C6" s="10" t="n">
        <v>32</v>
      </c>
      <c r="D6" s="10" t="n">
        <v>134</v>
      </c>
      <c r="E6" s="10"/>
      <c r="F6" s="10" t="n">
        <v>0</v>
      </c>
      <c r="G6" s="10" t="n">
        <v>0</v>
      </c>
      <c r="H6" s="10" t="n">
        <v>0</v>
      </c>
      <c r="I6" s="10" t="n">
        <v>4</v>
      </c>
      <c r="J6" s="10" t="n">
        <v>149</v>
      </c>
      <c r="K6" s="10" t="n">
        <v>0</v>
      </c>
      <c r="L6" s="10" t="n">
        <v>25</v>
      </c>
      <c r="M6" s="10" t="n">
        <v>109</v>
      </c>
      <c r="N6" s="10" t="n">
        <v>40</v>
      </c>
    </row>
    <row r="7" customFormat="false" ht="15" hidden="false" customHeight="false" outlineLevel="0" collapsed="false">
      <c r="A7" s="9" t="s">
        <v>16</v>
      </c>
      <c r="B7" s="10" t="n">
        <v>3</v>
      </c>
      <c r="C7" s="10" t="n">
        <v>29</v>
      </c>
      <c r="D7" s="10" t="n">
        <v>159</v>
      </c>
      <c r="E7" s="10"/>
      <c r="F7" s="10" t="n">
        <v>0</v>
      </c>
      <c r="G7" s="10" t="n">
        <v>0</v>
      </c>
      <c r="H7" s="10" t="n">
        <v>0</v>
      </c>
      <c r="I7" s="10" t="n">
        <v>3.4</v>
      </c>
      <c r="J7" s="10" t="n">
        <v>168</v>
      </c>
      <c r="K7" s="10" t="n">
        <v>0</v>
      </c>
      <c r="L7" s="10" t="n">
        <v>35</v>
      </c>
      <c r="M7" s="10" t="n">
        <v>101</v>
      </c>
      <c r="N7" s="10" t="n">
        <v>39</v>
      </c>
    </row>
    <row r="8" customFormat="false" ht="15" hidden="false" customHeight="false" outlineLevel="0" collapsed="false">
      <c r="A8" s="9" t="s">
        <v>18</v>
      </c>
      <c r="B8" s="10" t="n">
        <v>1</v>
      </c>
      <c r="C8" s="10" t="n">
        <v>42</v>
      </c>
      <c r="D8" s="10" t="n">
        <v>95</v>
      </c>
      <c r="E8" s="10" t="n">
        <v>170</v>
      </c>
      <c r="F8" s="10" t="n">
        <v>9</v>
      </c>
      <c r="G8" s="10" t="n">
        <v>11</v>
      </c>
      <c r="H8" s="10" t="n">
        <v>12</v>
      </c>
      <c r="I8" s="10" t="n">
        <v>9</v>
      </c>
      <c r="J8" s="10" t="n">
        <v>9</v>
      </c>
      <c r="K8" s="10" t="n">
        <v>0</v>
      </c>
      <c r="L8" s="10" t="n">
        <v>33</v>
      </c>
      <c r="M8" s="10" t="n">
        <v>130</v>
      </c>
      <c r="N8" s="10" t="n">
        <v>46</v>
      </c>
    </row>
    <row r="9" customFormat="false" ht="15" hidden="false" customHeight="false" outlineLevel="0" collapsed="false">
      <c r="A9" s="9" t="s">
        <v>18</v>
      </c>
      <c r="B9" s="10" t="n">
        <v>2</v>
      </c>
      <c r="C9" s="10" t="n">
        <v>36</v>
      </c>
      <c r="D9" s="10" t="n">
        <v>77</v>
      </c>
      <c r="E9" s="10" t="n">
        <v>143</v>
      </c>
      <c r="F9" s="10" t="n">
        <v>11</v>
      </c>
      <c r="G9" s="10" t="n">
        <v>13</v>
      </c>
      <c r="H9" s="10" t="n">
        <v>14</v>
      </c>
      <c r="I9" s="10" t="n">
        <v>10.8</v>
      </c>
      <c r="J9" s="10" t="n">
        <v>16</v>
      </c>
      <c r="K9" s="10" t="n">
        <v>0</v>
      </c>
      <c r="L9" s="10" t="n">
        <v>26</v>
      </c>
      <c r="M9" s="10" t="n">
        <v>116</v>
      </c>
      <c r="N9" s="10" t="n">
        <v>47</v>
      </c>
    </row>
    <row r="10" customFormat="false" ht="15" hidden="false" customHeight="false" outlineLevel="0" collapsed="false">
      <c r="A10" s="9" t="s">
        <v>18</v>
      </c>
      <c r="B10" s="10" t="n">
        <v>3</v>
      </c>
      <c r="C10" s="10" t="n">
        <v>34</v>
      </c>
      <c r="D10" s="10" t="n">
        <v>92</v>
      </c>
      <c r="E10" s="10" t="n">
        <v>161</v>
      </c>
      <c r="F10" s="10" t="n">
        <v>10</v>
      </c>
      <c r="G10" s="10" t="n">
        <v>12</v>
      </c>
      <c r="H10" s="10" t="n">
        <v>13</v>
      </c>
      <c r="I10" s="10" t="n">
        <v>5</v>
      </c>
      <c r="J10" s="10" t="n">
        <v>5</v>
      </c>
      <c r="K10" s="10" t="n">
        <v>0</v>
      </c>
      <c r="L10" s="10" t="n">
        <v>33</v>
      </c>
      <c r="M10" s="10" t="n">
        <v>121</v>
      </c>
      <c r="N10" s="10" t="n">
        <v>47</v>
      </c>
    </row>
    <row r="11" customFormat="false" ht="15" hidden="false" customHeight="false" outlineLevel="0" collapsed="false">
      <c r="A11" s="9" t="s">
        <v>17</v>
      </c>
      <c r="B11" s="10" t="n">
        <v>1</v>
      </c>
      <c r="C11" s="10" t="n">
        <v>35</v>
      </c>
      <c r="D11" s="10"/>
      <c r="E11" s="10"/>
      <c r="F11" s="10" t="n">
        <v>0</v>
      </c>
      <c r="G11" s="10" t="n">
        <v>0</v>
      </c>
      <c r="H11" s="10" t="n">
        <v>0</v>
      </c>
      <c r="I11" s="10" t="n">
        <v>3.1</v>
      </c>
      <c r="J11" s="10" t="n">
        <v>124</v>
      </c>
      <c r="K11" s="10" t="n">
        <v>0</v>
      </c>
      <c r="L11" s="10" t="n">
        <v>41</v>
      </c>
      <c r="M11" s="10" t="n">
        <v>111</v>
      </c>
      <c r="N11" s="10" t="n">
        <v>38</v>
      </c>
    </row>
    <row r="12" customFormat="false" ht="15" hidden="false" customHeight="false" outlineLevel="0" collapsed="false">
      <c r="A12" s="9" t="s">
        <v>17</v>
      </c>
      <c r="B12" s="10" t="n">
        <v>2</v>
      </c>
      <c r="C12" s="10" t="n">
        <v>38</v>
      </c>
      <c r="D12" s="10" t="n">
        <v>157</v>
      </c>
      <c r="E12" s="10"/>
      <c r="F12" s="10" t="n">
        <v>0</v>
      </c>
      <c r="G12" s="10" t="n">
        <v>0</v>
      </c>
      <c r="H12" s="10" t="n">
        <v>0</v>
      </c>
      <c r="I12" s="10" t="n">
        <v>3.1</v>
      </c>
      <c r="J12" s="10" t="n">
        <v>43</v>
      </c>
      <c r="K12" s="10" t="n">
        <v>0</v>
      </c>
      <c r="L12" s="10" t="n">
        <v>36</v>
      </c>
      <c r="M12" s="10" t="n">
        <v>114</v>
      </c>
      <c r="N12" s="10" t="n">
        <v>39</v>
      </c>
    </row>
    <row r="13" customFormat="false" ht="15" hidden="false" customHeight="false" outlineLevel="0" collapsed="false">
      <c r="A13" s="9" t="s">
        <v>17</v>
      </c>
      <c r="B13" s="10" t="n">
        <v>3</v>
      </c>
      <c r="C13" s="10" t="n">
        <v>31</v>
      </c>
      <c r="D13" s="10" t="n">
        <v>137</v>
      </c>
      <c r="E13" s="10"/>
      <c r="F13" s="10" t="n">
        <v>0</v>
      </c>
      <c r="G13" s="10" t="n">
        <v>0</v>
      </c>
      <c r="H13" s="10" t="n">
        <v>0</v>
      </c>
      <c r="I13" s="10" t="n">
        <v>3.6</v>
      </c>
      <c r="J13" s="10" t="n">
        <v>148</v>
      </c>
      <c r="K13" s="10" t="n">
        <v>0</v>
      </c>
      <c r="L13" s="10" t="n">
        <v>34</v>
      </c>
      <c r="M13" s="10" t="n">
        <v>103</v>
      </c>
      <c r="N13" s="10" t="n">
        <v>40</v>
      </c>
    </row>
    <row r="14" customFormat="false" ht="15" hidden="false" customHeight="false" outlineLevel="0" collapsed="false">
      <c r="A14" s="9" t="s">
        <v>19</v>
      </c>
      <c r="B14" s="10" t="n">
        <v>1</v>
      </c>
      <c r="C14" s="10" t="n">
        <v>19</v>
      </c>
      <c r="D14" s="10" t="n">
        <v>60</v>
      </c>
      <c r="E14" s="10" t="n">
        <v>107</v>
      </c>
      <c r="F14" s="10" t="n">
        <v>17</v>
      </c>
      <c r="G14" s="10" t="n">
        <v>19</v>
      </c>
      <c r="H14" s="10" t="n">
        <v>19</v>
      </c>
      <c r="I14" s="10" t="n">
        <v>3.7</v>
      </c>
      <c r="J14" s="10" t="n">
        <v>106</v>
      </c>
      <c r="K14" s="10" t="n">
        <v>0</v>
      </c>
      <c r="L14" s="10" t="n">
        <v>14</v>
      </c>
      <c r="M14" s="10" t="n">
        <v>124</v>
      </c>
      <c r="N14" s="10" t="n">
        <v>52</v>
      </c>
    </row>
    <row r="15" customFormat="false" ht="15" hidden="false" customHeight="false" outlineLevel="0" collapsed="false">
      <c r="A15" s="9" t="s">
        <v>19</v>
      </c>
      <c r="B15" s="10" t="n">
        <v>2</v>
      </c>
      <c r="C15" s="10" t="n">
        <v>18</v>
      </c>
      <c r="D15" s="10" t="n">
        <v>50</v>
      </c>
      <c r="E15" s="10" t="n">
        <v>97</v>
      </c>
      <c r="F15" s="10" t="n">
        <v>16</v>
      </c>
      <c r="G15" s="10" t="n">
        <v>18</v>
      </c>
      <c r="H15" s="10" t="n">
        <v>18</v>
      </c>
      <c r="I15" s="10" t="n">
        <v>4.6</v>
      </c>
      <c r="J15" s="10" t="n">
        <v>89</v>
      </c>
      <c r="K15" s="10" t="n">
        <v>0</v>
      </c>
      <c r="L15" s="10" t="n">
        <v>35</v>
      </c>
      <c r="M15" s="10" t="n">
        <v>128</v>
      </c>
      <c r="N15" s="10" t="n">
        <v>53</v>
      </c>
    </row>
    <row r="16" customFormat="false" ht="15" hidden="false" customHeight="false" outlineLevel="0" collapsed="false">
      <c r="A16" s="9" t="s">
        <v>19</v>
      </c>
      <c r="B16" s="10" t="n">
        <v>3</v>
      </c>
      <c r="C16" s="10" t="n">
        <v>14</v>
      </c>
      <c r="D16" s="10" t="n">
        <v>49</v>
      </c>
      <c r="E16" s="10" t="n">
        <v>97</v>
      </c>
      <c r="F16" s="10" t="n">
        <v>15</v>
      </c>
      <c r="G16" s="10" t="n">
        <v>18</v>
      </c>
      <c r="H16" s="10" t="n">
        <v>18</v>
      </c>
      <c r="I16" s="10" t="n">
        <v>4.5</v>
      </c>
      <c r="J16" s="10" t="n">
        <v>82</v>
      </c>
      <c r="K16" s="10" t="n">
        <v>0</v>
      </c>
      <c r="L16" s="10" t="n">
        <v>32</v>
      </c>
      <c r="M16" s="10" t="n">
        <v>131</v>
      </c>
      <c r="N16" s="10" t="n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36</v>
      </c>
    </row>
    <row r="3" customFormat="false" ht="15" hidden="false" customHeight="false" outlineLevel="0" collapsed="false">
      <c r="A3" s="11" t="s">
        <v>37</v>
      </c>
      <c r="B3" s="11" t="s">
        <v>38</v>
      </c>
      <c r="C3" s="11" t="s">
        <v>39</v>
      </c>
    </row>
    <row r="4" customFormat="false" ht="61.5" hidden="false" customHeight="true" outlineLevel="0" collapsed="false">
      <c r="A4" s="12" t="s">
        <v>40</v>
      </c>
      <c r="B4" s="13" t="s">
        <v>41</v>
      </c>
      <c r="C4" s="12" t="s">
        <v>42</v>
      </c>
    </row>
    <row r="5" customFormat="false" ht="61.5" hidden="false" customHeight="true" outlineLevel="0" collapsed="false">
      <c r="A5" s="12" t="s">
        <v>40</v>
      </c>
      <c r="B5" s="13" t="s">
        <v>43</v>
      </c>
      <c r="C5" s="12" t="s">
        <v>44</v>
      </c>
    </row>
    <row r="6" customFormat="false" ht="61.5" hidden="false" customHeight="true" outlineLevel="0" collapsed="false">
      <c r="A6" s="12" t="s">
        <v>40</v>
      </c>
      <c r="B6" s="13" t="s">
        <v>45</v>
      </c>
      <c r="C6" s="12" t="s">
        <v>46</v>
      </c>
    </row>
    <row r="7" customFormat="false" ht="61.5" hidden="false" customHeight="true" outlineLevel="0" collapsed="false">
      <c r="A7" s="12" t="s">
        <v>47</v>
      </c>
      <c r="B7" s="13" t="s">
        <v>48</v>
      </c>
      <c r="C7" s="12" t="s">
        <v>49</v>
      </c>
    </row>
    <row r="8" customFormat="false" ht="61.5" hidden="false" customHeight="true" outlineLevel="0" collapsed="false">
      <c r="A8" s="12" t="s">
        <v>47</v>
      </c>
      <c r="B8" s="13" t="s">
        <v>50</v>
      </c>
      <c r="C8" s="12" t="s">
        <v>51</v>
      </c>
    </row>
    <row r="9" customFormat="false" ht="61.5" hidden="false" customHeight="true" outlineLevel="0" collapsed="false">
      <c r="A9" s="12" t="s">
        <v>47</v>
      </c>
      <c r="B9" s="13" t="s">
        <v>52</v>
      </c>
      <c r="C9" s="12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2026-10-22T16:59:51Z</dcterms:created>
  <dc:creator>openpyxl</dc:creator>
  <dc:description/>
  <dc:language>en-US</dc:language>
  <cp:lastModifiedBy/>
  <dcterms:modified xsi:type="dcterms:W3CDTF">2026-10-22T16:59:51Z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